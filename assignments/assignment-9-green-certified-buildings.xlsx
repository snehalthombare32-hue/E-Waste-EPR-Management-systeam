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3FAFCB96-A2FF-C149-951C-D23AFBFA13F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Green Buildings Scorecard" sheetId="1" r:id="rId1"/>
    <sheet name="Methodology &amp; Rating Bands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K5" i="1"/>
  <c r="L5" i="1"/>
  <c r="K6" i="1"/>
  <c r="L6" i="1"/>
  <c r="K7" i="1"/>
  <c r="L7" i="1"/>
  <c r="K8" i="1"/>
  <c r="L8" i="1"/>
  <c r="K14" i="1"/>
  <c r="L14" i="1"/>
  <c r="K13" i="1"/>
  <c r="L13" i="1"/>
  <c r="K12" i="1"/>
  <c r="L12" i="1"/>
  <c r="K11" i="1"/>
  <c r="L11" i="1"/>
  <c r="K10" i="1"/>
  <c r="L10" i="1"/>
  <c r="K9" i="1"/>
  <c r="L9" i="1"/>
  <c r="L16" i="1"/>
  <c r="K16" i="1"/>
  <c r="J16" i="1"/>
  <c r="I16" i="1"/>
  <c r="H16" i="1"/>
  <c r="G16" i="1"/>
  <c r="F16" i="1"/>
  <c r="E16" i="1"/>
</calcChain>
</file>

<file path=xl/sharedStrings.xml><?xml version="1.0" encoding="utf-8"?>
<sst xmlns="http://schemas.openxmlformats.org/spreadsheetml/2006/main" count="85" uniqueCount="73">
  <si>
    <t>Green Certified Buildings in India — Company List Scorecard</t>
  </si>
  <si>
    <t>Scored on the LEED-India 110-point scale across 6 parameters. See 'Methodology &amp; Rating Bands' sheet for sourcing and scoring notes.</t>
  </si>
  <si>
    <t>Rank</t>
  </si>
  <si>
    <t>Building Name</t>
  </si>
  <si>
    <t>City / State</t>
  </si>
  <si>
    <t>Certifying Body</t>
  </si>
  <si>
    <t>Sustainable Sites
(max 26)</t>
  </si>
  <si>
    <t>Water Efficiency
(max 10)</t>
  </si>
  <si>
    <t>Energy &amp; Atmosphere
(max 35)</t>
  </si>
  <si>
    <t>Materials &amp; Resources
(max 14)</t>
  </si>
  <si>
    <t>Indoor Environmental
Quality (max 15)</t>
  </si>
  <si>
    <t>Innovation &amp;
Regional Priority (max 10)</t>
  </si>
  <si>
    <t>Overall Score
(out of 110)</t>
  </si>
  <si>
    <t>Overall %</t>
  </si>
  <si>
    <t>Rating</t>
  </si>
  <si>
    <t>Suzlon One Earth</t>
  </si>
  <si>
    <t>Pune, Maharashtra</t>
  </si>
  <si>
    <t>LEED India + GRIHA 5-Star</t>
  </si>
  <si>
    <t>Platinum</t>
  </si>
  <si>
    <t>ITC Green Centre</t>
  </si>
  <si>
    <t>Gurugram, Haryana</t>
  </si>
  <si>
    <t>LEED (USGBC/IGBC), 2004</t>
  </si>
  <si>
    <t>Indira Paryavaran Bhawan</t>
  </si>
  <si>
    <t>New Delhi</t>
  </si>
  <si>
    <t>LEED India Platinum + GRIHA 5-Star</t>
  </si>
  <si>
    <t>Kempegowda Int'l Airport – Terminal 2</t>
  </si>
  <si>
    <t>Bengaluru, Karnataka</t>
  </si>
  <si>
    <t>LEED (pre-cert) + IGBC Platinum</t>
  </si>
  <si>
    <t>CII – Sohrabji Godrej Green Business Centre</t>
  </si>
  <si>
    <t>Hyderabad, Telangana</t>
  </si>
  <si>
    <t>LEED (USGBC) v2, 2003</t>
  </si>
  <si>
    <t>Infosys Crescent</t>
  </si>
  <si>
    <t>LEED (Infosys portfolio) Platinum</t>
  </si>
  <si>
    <t>Capgemini EPIP Campus</t>
  </si>
  <si>
    <t>IGBC Net Zero Energy – Platinum</t>
  </si>
  <si>
    <t>CEPT Net-Zero Energy Building (CARBSE)</t>
  </si>
  <si>
    <t>Ahmedabad, Gujarat</t>
  </si>
  <si>
    <t>Not LEED/IGBC certified (research NZEB)</t>
  </si>
  <si>
    <t>Not Certified*</t>
  </si>
  <si>
    <t>CRISIL House</t>
  </si>
  <si>
    <t>Mumbai, Maharashtra</t>
  </si>
  <si>
    <t>LEED India (Existing Building)</t>
  </si>
  <si>
    <t>Gold</t>
  </si>
  <si>
    <t>Alembic Museum</t>
  </si>
  <si>
    <t>Vadodara, Gujarat</t>
  </si>
  <si>
    <t>Not certified (heritage adaptive reuse)</t>
  </si>
  <si>
    <t>Average</t>
  </si>
  <si>
    <t>Methodology &amp; Rating Bands</t>
  </si>
  <si>
    <t>Scoring scale used</t>
  </si>
  <si>
    <t>LEED-India 110-point scale (as adopted/mirrored by IGBC), split across 6 parameters:</t>
  </si>
  <si>
    <t>Parameter</t>
  </si>
  <si>
    <t>Max Points</t>
  </si>
  <si>
    <t>Sustainable Sites</t>
  </si>
  <si>
    <t>Water Efficiency</t>
  </si>
  <si>
    <t>Energy &amp; Atmosphere</t>
  </si>
  <si>
    <t>Materials &amp; Resources</t>
  </si>
  <si>
    <t>Indoor Environmental Quality</t>
  </si>
  <si>
    <t>Innovation &amp; Regional Priority</t>
  </si>
  <si>
    <t>TOTAL</t>
  </si>
  <si>
    <t>Score Range</t>
  </si>
  <si>
    <t>Certified</t>
  </si>
  <si>
    <t>40 - 49</t>
  </si>
  <si>
    <t>Silver</t>
  </si>
  <si>
    <t>50 - 59</t>
  </si>
  <si>
    <t>60 - 79</t>
  </si>
  <si>
    <t>Sources</t>
  </si>
  <si>
    <t>- IGBC (Indian Green Building Council) - igbc.in</t>
  </si>
  <si>
    <t>- USGBC LEED project database / LEED-India rating system</t>
  </si>
  <si>
    <t>- GRIHA Council - grihaindia.org</t>
  </si>
  <si>
    <t>- Publicly reported project details (company sustainability pages, press coverage, architects' project pages) for each building listed</t>
  </si>
  <si>
    <t>Rating Bands (Score out of 100)</t>
  </si>
  <si>
    <t>80 - 100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</si>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</sst>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8"/>
      <color rgb="FF555555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E2E2E2"/>
        <bgColor rgb="FFD9E7DD"/>
      </patternFill>
    </fill>
    <fill>
      <patternFill patternType="solid">
        <fgColor rgb="FFFDE9E9"/>
        <bgColor rgb="FFFFF2CC"/>
      </patternFill>
    </fill>
    <fill>
      <patternFill patternType="solid">
        <fgColor rgb="FFFFF2CC"/>
        <bgColor rgb="FFFDE9E9"/>
      </patternFill>
    </fill>
    <fill>
      <patternFill patternType="solid">
        <fgColor rgb="FFD9E7DD"/>
        <bgColor rgb="FFE2E2E2"/>
      </patternFill>
    </fill>
    <fill>
      <patternFill patternType="solid">
        <fgColor rgb="FFFEE59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4" fillId="0" borderId="0" xfId="0" applyFont="1"/>
    <xf numFmtId="0" fontId="3" fillId="2" borderId="0" xfId="0" applyFont="1" applyFill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Border="1"/>
    <xf numFmtId="0" fontId="2" fillId="0" borderId="0" xfId="0" applyFont="1" applyBorder="1"/>
    <xf numFmtId="0" fontId="6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7DD"/>
      <rgbColor rgb="FFFD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M1" zoomScaleNormal="100" workbookViewId="0">
      <pane ySplit="4" topLeftCell="M5" activePane="bottomLeft" state="frozen"/>
      <selection activeCell="B1" sqref="B1"/>
      <selection pane="bottomLeft" activeCell="G14" sqref="G14"/>
    </sheetView>
  </sheetViews>
  <sheetFormatPr defaultColWidth="8.7421875" defaultRowHeight="15" x14ac:dyDescent="0.2"/>
  <cols>
    <col min="1" max="1" width="6.05078125" customWidth="1"/>
    <col min="2" max="2" width="34.03125" customWidth="1"/>
    <col min="3" max="3" width="20.04296875" customWidth="1"/>
    <col min="4" max="4" width="29.99609375" customWidth="1"/>
    <col min="5" max="6" width="11.97265625" customWidth="1"/>
    <col min="7" max="8" width="13.046875" customWidth="1"/>
    <col min="9" max="9" width="13.98828125" customWidth="1"/>
    <col min="10" max="11" width="13.046875" customWidth="1"/>
    <col min="12" max="12" width="9.953125" customWidth="1"/>
    <col min="13" max="13" width="13.046875" customWidth="1"/>
  </cols>
  <sheetData>
    <row r="1" spans="1:13" ht="17.25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13" ht="39.7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x14ac:dyDescent="0.2">
      <c r="A5" s="2">
        <v>1</v>
      </c>
      <c r="B5" s="3" t="s">
        <v>15</v>
      </c>
      <c r="C5" s="3" t="s">
        <v>16</v>
      </c>
      <c r="D5" s="3" t="s">
        <v>17</v>
      </c>
      <c r="E5" s="2">
        <v>24</v>
      </c>
      <c r="F5" s="2">
        <v>10</v>
      </c>
      <c r="G5" s="2">
        <v>35</v>
      </c>
      <c r="H5" s="2">
        <v>12</v>
      </c>
      <c r="I5" s="2">
        <v>14</v>
      </c>
      <c r="J5" s="2">
        <v>10</v>
      </c>
      <c r="K5" s="2">
        <f>SUM(E5:J5)</f>
        <v>105</v>
      </c>
      <c r="L5" s="4">
        <f>K5/110</f>
        <v>0.95454545454545459</v>
      </c>
      <c r="M5" s="2" t="s">
        <v>18</v>
      </c>
    </row>
    <row r="6" spans="1:13" x14ac:dyDescent="0.2">
      <c r="A6" s="2">
        <v>2</v>
      </c>
      <c r="B6" s="3" t="s">
        <v>19</v>
      </c>
      <c r="C6" s="3" t="s">
        <v>20</v>
      </c>
      <c r="D6" s="3" t="s">
        <v>21</v>
      </c>
      <c r="E6" s="2">
        <v>23</v>
      </c>
      <c r="F6" s="2">
        <v>9</v>
      </c>
      <c r="G6" s="2">
        <v>34</v>
      </c>
      <c r="H6" s="2">
        <v>11</v>
      </c>
      <c r="I6" s="2">
        <v>14</v>
      </c>
      <c r="J6" s="2">
        <v>10</v>
      </c>
      <c r="K6" s="2">
        <f>SUM(E6:J6)</f>
        <v>101</v>
      </c>
      <c r="L6" s="4">
        <f>K6/110</f>
        <v>0.91818181818181821</v>
      </c>
      <c r="M6" s="2" t="s">
        <v>18</v>
      </c>
    </row>
    <row r="7" spans="1:13" ht="24.75" x14ac:dyDescent="0.2">
      <c r="A7" s="2">
        <v>3</v>
      </c>
      <c r="B7" s="3" t="s">
        <v>22</v>
      </c>
      <c r="C7" s="3" t="s">
        <v>23</v>
      </c>
      <c r="D7" s="3" t="s">
        <v>24</v>
      </c>
      <c r="E7" s="2">
        <v>23</v>
      </c>
      <c r="F7" s="2">
        <v>9</v>
      </c>
      <c r="G7" s="2">
        <v>34</v>
      </c>
      <c r="H7" s="2">
        <v>11</v>
      </c>
      <c r="I7" s="2">
        <v>13</v>
      </c>
      <c r="J7" s="2">
        <v>9</v>
      </c>
      <c r="K7" s="2">
        <f>SUM(E7:J7)</f>
        <v>99</v>
      </c>
      <c r="L7" s="4">
        <f>K7/110</f>
        <v>0.9</v>
      </c>
      <c r="M7" s="2" t="s">
        <v>18</v>
      </c>
    </row>
    <row r="8" spans="1:13" x14ac:dyDescent="0.2">
      <c r="A8" s="2">
        <v>4</v>
      </c>
      <c r="B8" s="3" t="s">
        <v>25</v>
      </c>
      <c r="C8" s="3" t="s">
        <v>26</v>
      </c>
      <c r="D8" s="3" t="s">
        <v>27</v>
      </c>
      <c r="E8" s="2">
        <v>24</v>
      </c>
      <c r="F8" s="2">
        <v>8</v>
      </c>
      <c r="G8" s="2">
        <v>30</v>
      </c>
      <c r="H8" s="2">
        <v>11</v>
      </c>
      <c r="I8" s="2">
        <v>12</v>
      </c>
      <c r="J8" s="2">
        <v>9</v>
      </c>
      <c r="K8" s="2">
        <f>SUM(E8:J8)</f>
        <v>94</v>
      </c>
      <c r="L8" s="4">
        <f>K8/110</f>
        <v>0.8545454545454545</v>
      </c>
      <c r="M8" s="2" t="s">
        <v>18</v>
      </c>
    </row>
    <row r="9" spans="1:13" ht="24.75" x14ac:dyDescent="0.2">
      <c r="A9" s="2">
        <v>5</v>
      </c>
      <c r="B9" s="3" t="s">
        <v>28</v>
      </c>
      <c r="C9" s="3" t="s">
        <v>29</v>
      </c>
      <c r="D9" s="3" t="s">
        <v>30</v>
      </c>
      <c r="E9" s="2">
        <v>22</v>
      </c>
      <c r="F9" s="2">
        <v>9</v>
      </c>
      <c r="G9" s="2">
        <v>28</v>
      </c>
      <c r="H9" s="2">
        <v>11</v>
      </c>
      <c r="I9" s="2">
        <v>12</v>
      </c>
      <c r="J9" s="2">
        <v>7</v>
      </c>
      <c r="K9" s="2">
        <f>SUM(E9:J9)</f>
        <v>89</v>
      </c>
      <c r="L9" s="4">
        <f>K9/110</f>
        <v>0.80909090909090908</v>
      </c>
      <c r="M9" s="2" t="s">
        <v>18</v>
      </c>
    </row>
    <row r="10" spans="1:13" x14ac:dyDescent="0.2">
      <c r="A10" s="2">
        <v>6</v>
      </c>
      <c r="B10" s="3" t="s">
        <v>31</v>
      </c>
      <c r="C10" s="3" t="s">
        <v>26</v>
      </c>
      <c r="D10" s="3" t="s">
        <v>32</v>
      </c>
      <c r="E10" s="2">
        <v>20</v>
      </c>
      <c r="F10" s="2">
        <v>9</v>
      </c>
      <c r="G10" s="2">
        <v>30</v>
      </c>
      <c r="H10" s="2">
        <v>10</v>
      </c>
      <c r="I10" s="2">
        <v>12</v>
      </c>
      <c r="J10" s="2">
        <v>8</v>
      </c>
      <c r="K10" s="2">
        <f>SUM(E10:J10)</f>
        <v>89</v>
      </c>
      <c r="L10" s="4">
        <f>K10/110</f>
        <v>0.80909090909090908</v>
      </c>
      <c r="M10" s="2" t="s">
        <v>18</v>
      </c>
    </row>
    <row r="11" spans="1:13" x14ac:dyDescent="0.2">
      <c r="A11" s="2">
        <v>7</v>
      </c>
      <c r="B11" s="3" t="s">
        <v>33</v>
      </c>
      <c r="C11" s="3" t="s">
        <v>26</v>
      </c>
      <c r="D11" s="3" t="s">
        <v>34</v>
      </c>
      <c r="E11" s="2">
        <v>20</v>
      </c>
      <c r="F11" s="2">
        <v>7</v>
      </c>
      <c r="G11" s="2">
        <v>33</v>
      </c>
      <c r="H11" s="2">
        <v>9</v>
      </c>
      <c r="I11" s="2">
        <v>11</v>
      </c>
      <c r="J11" s="2">
        <v>8</v>
      </c>
      <c r="K11" s="2">
        <f>SUM(E11:J11)</f>
        <v>88</v>
      </c>
      <c r="L11" s="4">
        <f>K11/110</f>
        <v>0.8</v>
      </c>
      <c r="M11" s="2" t="s">
        <v>18</v>
      </c>
    </row>
    <row r="12" spans="1:13" s="21" customFormat="1" ht="24.75" x14ac:dyDescent="0.2">
      <c r="A12" s="18">
        <v>8</v>
      </c>
      <c r="B12" s="19" t="s">
        <v>35</v>
      </c>
      <c r="C12" s="19" t="s">
        <v>36</v>
      </c>
      <c r="D12" s="19" t="s">
        <v>37</v>
      </c>
      <c r="E12" s="18">
        <v>18</v>
      </c>
      <c r="F12" s="18">
        <v>5</v>
      </c>
      <c r="G12" s="18">
        <v>32</v>
      </c>
      <c r="H12" s="18">
        <v>9</v>
      </c>
      <c r="I12" s="18">
        <v>11</v>
      </c>
      <c r="J12" s="18">
        <v>6</v>
      </c>
      <c r="K12" s="18">
        <f>SUM(E12:J12)</f>
        <v>81</v>
      </c>
      <c r="L12" s="20">
        <f>K12/110</f>
        <v>0.73636363636363633</v>
      </c>
      <c r="M12" s="18" t="s">
        <v>42</v>
      </c>
    </row>
    <row r="13" spans="1:13" x14ac:dyDescent="0.2">
      <c r="A13" s="8">
        <v>9</v>
      </c>
      <c r="B13" s="9" t="s">
        <v>39</v>
      </c>
      <c r="C13" s="9" t="s">
        <v>40</v>
      </c>
      <c r="D13" s="9" t="s">
        <v>41</v>
      </c>
      <c r="E13" s="8">
        <v>15</v>
      </c>
      <c r="F13" s="8">
        <v>6</v>
      </c>
      <c r="G13" s="8">
        <v>24</v>
      </c>
      <c r="H13" s="8">
        <v>8</v>
      </c>
      <c r="I13" s="8">
        <v>9</v>
      </c>
      <c r="J13" s="8">
        <v>5</v>
      </c>
      <c r="K13" s="8">
        <f>SUM(E13:J13)</f>
        <v>67</v>
      </c>
      <c r="L13" s="10">
        <f>K13/110</f>
        <v>0.60909090909090913</v>
      </c>
      <c r="M13" s="8" t="s">
        <v>42</v>
      </c>
    </row>
    <row r="14" spans="1:13" ht="24.75" x14ac:dyDescent="0.2">
      <c r="A14" s="5">
        <v>10</v>
      </c>
      <c r="B14" s="6" t="s">
        <v>43</v>
      </c>
      <c r="C14" s="6" t="s">
        <v>44</v>
      </c>
      <c r="D14" s="6" t="s">
        <v>45</v>
      </c>
      <c r="E14" s="5">
        <v>12</v>
      </c>
      <c r="F14" s="5">
        <v>3</v>
      </c>
      <c r="G14" s="5">
        <v>15</v>
      </c>
      <c r="H14" s="5">
        <v>9</v>
      </c>
      <c r="I14" s="5">
        <v>9</v>
      </c>
      <c r="J14" s="5">
        <v>4</v>
      </c>
      <c r="K14" s="5">
        <f>SUM(E14:J14)</f>
        <v>52</v>
      </c>
      <c r="L14" s="7">
        <f>K14/110</f>
        <v>0.47272727272727272</v>
      </c>
      <c r="M14" s="5" t="s">
        <v>38</v>
      </c>
    </row>
    <row r="16" spans="1:13" x14ac:dyDescent="0.2">
      <c r="A16" s="11"/>
      <c r="B16" s="12" t="s">
        <v>46</v>
      </c>
      <c r="C16" s="11"/>
      <c r="D16" s="11"/>
      <c r="E16" s="12">
        <f>AVERAGE(E5:E14)</f>
        <v>20.100000000000001</v>
      </c>
      <c r="F16" s="12">
        <f>AVERAGE(F5:F14)</f>
        <v>7.5</v>
      </c>
      <c r="G16" s="12">
        <f>AVERAGE(G5:G14)</f>
        <v>29.5</v>
      </c>
      <c r="H16" s="12">
        <f>AVERAGE(H5:H14)</f>
        <v>10.1</v>
      </c>
      <c r="I16" s="12">
        <f>AVERAGE(I5:I14)</f>
        <v>11.7</v>
      </c>
      <c r="J16" s="12">
        <f>AVERAGE(J5:J14)</f>
        <v>7.6</v>
      </c>
      <c r="K16" s="12">
        <f>AVERAGE(K5:K14)</f>
        <v>86.5</v>
      </c>
      <c r="L16" s="13">
        <f>AVERAGE(L5:L14)</f>
        <v>0.78636363636363638</v>
      </c>
      <c r="M16" s="11"/>
    </row>
    <row r="18" spans="1:13" ht="15" customHeight="1" x14ac:dyDescent="0.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x14ac:dyDescent="0.2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x14ac:dyDescent="0.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</sheetData>
  <mergeCells count="3">
    <mergeCell ref="A1:M1"/>
    <mergeCell ref="A2:M2"/>
    <mergeCell ref="A18:M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topLeftCell="A14" zoomScaleNormal="100" workbookViewId="0">
      <selection activeCell="A15" sqref="A1:A1048576"/>
    </sheetView>
  </sheetViews>
  <sheetFormatPr defaultColWidth="8.7421875" defaultRowHeight="15" x14ac:dyDescent="0.2"/>
  <cols>
    <col min="1" max="1" width="37.93359375" customWidth="1"/>
    <col min="2" max="2" width="69.94921875" customWidth="1"/>
  </cols>
  <sheetData>
    <row r="1" spans="1:2" ht="17.25" x14ac:dyDescent="0.2">
      <c r="A1" s="14" t="s">
        <v>47</v>
      </c>
    </row>
    <row r="3" spans="1:2" x14ac:dyDescent="0.2">
      <c r="A3" s="15" t="s">
        <v>48</v>
      </c>
      <c r="B3" s="16" t="s">
        <v>49</v>
      </c>
    </row>
    <row r="5" spans="1:2" x14ac:dyDescent="0.2">
      <c r="A5" s="17" t="s">
        <v>50</v>
      </c>
      <c r="B5" s="17" t="s">
        <v>51</v>
      </c>
    </row>
    <row r="6" spans="1:2" x14ac:dyDescent="0.2">
      <c r="A6" s="16" t="s">
        <v>52</v>
      </c>
      <c r="B6" s="16">
        <v>26</v>
      </c>
    </row>
    <row r="7" spans="1:2" x14ac:dyDescent="0.2">
      <c r="A7" s="16" t="s">
        <v>53</v>
      </c>
      <c r="B7" s="16">
        <v>10</v>
      </c>
    </row>
    <row r="8" spans="1:2" x14ac:dyDescent="0.2">
      <c r="A8" s="16" t="s">
        <v>54</v>
      </c>
      <c r="B8" s="16">
        <v>35</v>
      </c>
    </row>
    <row r="9" spans="1:2" x14ac:dyDescent="0.2">
      <c r="A9" s="16" t="s">
        <v>55</v>
      </c>
      <c r="B9" s="16">
        <v>14</v>
      </c>
    </row>
    <row r="10" spans="1:2" x14ac:dyDescent="0.2">
      <c r="A10" s="16" t="s">
        <v>56</v>
      </c>
      <c r="B10" s="16">
        <v>15</v>
      </c>
    </row>
    <row r="11" spans="1:2" x14ac:dyDescent="0.2">
      <c r="A11" s="16" t="s">
        <v>57</v>
      </c>
      <c r="B11" s="16">
        <v>10</v>
      </c>
    </row>
    <row r="12" spans="1:2" x14ac:dyDescent="0.2">
      <c r="A12" s="15" t="s">
        <v>58</v>
      </c>
      <c r="B12" s="15">
        <f>SUM(B6:B11)</f>
        <v>110</v>
      </c>
    </row>
    <row r="15" spans="1:2" x14ac:dyDescent="0.2">
      <c r="A15" s="15" t="s">
        <v>70</v>
      </c>
    </row>
    <row r="16" spans="1:2" x14ac:dyDescent="0.2">
      <c r="A16" s="17" t="s">
        <v>14</v>
      </c>
      <c r="B16" s="17" t="s">
        <v>59</v>
      </c>
    </row>
    <row r="17" spans="1:2" x14ac:dyDescent="0.2">
      <c r="A17" s="16" t="s">
        <v>60</v>
      </c>
      <c r="B17" s="16" t="s">
        <v>61</v>
      </c>
    </row>
    <row r="18" spans="1:2" x14ac:dyDescent="0.2">
      <c r="A18" s="16" t="s">
        <v>62</v>
      </c>
      <c r="B18" s="16" t="s">
        <v>63</v>
      </c>
    </row>
    <row r="19" spans="1:2" x14ac:dyDescent="0.2">
      <c r="A19" s="16" t="s">
        <v>42</v>
      </c>
      <c r="B19" s="16" t="s">
        <v>64</v>
      </c>
    </row>
    <row r="20" spans="1:2" x14ac:dyDescent="0.2">
      <c r="A20" s="16" t="s">
        <v>18</v>
      </c>
      <c r="B20" s="16" t="s">
        <v>71</v>
      </c>
    </row>
    <row r="23" spans="1:2" x14ac:dyDescent="0.2">
      <c r="A23" s="15" t="s">
        <v>65</v>
      </c>
    </row>
    <row r="24" spans="1:2" x14ac:dyDescent="0.2">
      <c r="A24" s="16" t="s">
        <v>66</v>
      </c>
    </row>
    <row r="25" spans="1:2" x14ac:dyDescent="0.2">
      <c r="A25" s="16" t="s">
        <v>67</v>
      </c>
    </row>
    <row r="26" spans="1:2" x14ac:dyDescent="0.2">
      <c r="A26" s="16" t="s">
        <v>68</v>
      </c>
    </row>
    <row r="27" spans="1:2" x14ac:dyDescent="0.2">
      <c r="A27" s="16" t="s">
        <v>69</v>
      </c>
    </row>
    <row r="29" spans="1:2" ht="15" customHeight="1" x14ac:dyDescent="0.2">
      <c r="A29" s="24" t="s">
        <v>72</v>
      </c>
      <c r="B29" s="24"/>
    </row>
    <row r="30" spans="1:2" x14ac:dyDescent="0.2">
      <c r="A30" s="24"/>
      <c r="B30" s="24"/>
    </row>
    <row r="31" spans="1:2" x14ac:dyDescent="0.2">
      <c r="A31" s="24"/>
      <c r="B31" s="24"/>
    </row>
    <row r="32" spans="1:2" x14ac:dyDescent="0.2">
      <c r="A32" s="24"/>
      <c r="B32" s="24"/>
    </row>
  </sheetData>
  <mergeCells count="1">
    <mergeCell ref="A29:B3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Props1.xml><?xml version="1.0" encoding="utf-8"?>
<ds:datastoreItem xmlns:ds="http://schemas.openxmlformats.org/officeDocument/2006/customXml" ds:itemID="{269EF3B9-4ED2-4153-80FD-34A7254E3D24}"/>
</file>

<file path=customXml/itemProps2.xml><?xml version="1.0" encoding="utf-8"?>
<ds:datastoreItem xmlns:ds="http://schemas.openxmlformats.org/officeDocument/2006/customXml" ds:itemID="{4DE82E37-14C5-4C2A-96DD-8677486E16F2}"/>
</file>

<file path=customXml/itemProps3.xml><?xml version="1.0" encoding="utf-8"?>
<ds:datastoreItem xmlns:ds="http://schemas.openxmlformats.org/officeDocument/2006/customXml" ds:itemID="{6B21B0B8-78F2-4E8B-86E4-828416BFEED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 Buildings Scorecard</vt:lpstr>
      <vt:lpstr>Methodology &amp; Rating Bands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2026-09-22T06:46:53Z</dcterms:created>
  <dcterms:modified xsi:type="dcterms:W3CDTF">2026-09-22T06:46:53Z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