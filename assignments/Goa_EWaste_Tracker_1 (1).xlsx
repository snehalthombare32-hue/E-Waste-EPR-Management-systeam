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Scorecar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1_Generation_Inventory" sheetId="3" state="visible" r:id="rId3"/>
    <sheet xmlns:r="http://schemas.openxmlformats.org/officeDocument/2006/relationships" name="2_Collection_Log" sheetId="4" state="visible" r:id="rId4"/>
    <sheet xmlns:r="http://schemas.openxmlformats.org/officeDocument/2006/relationships" name="3_Recycling_Infrastructure" sheetId="5" state="visible" r:id="rId5"/>
    <sheet xmlns:r="http://schemas.openxmlformats.org/officeDocument/2006/relationships" name="4_Compliance_Tracker" sheetId="6" state="visible" r:id="rId6"/>
    <sheet xmlns:r="http://schemas.openxmlformats.org/officeDocument/2006/relationships" name="5_Informal_Sector_Hotspots" sheetId="7" state="visible" r:id="rId7"/>
    <sheet xmlns:r="http://schemas.openxmlformats.org/officeDocument/2006/relationships" name="6_Env_Health_Monitoring" sheetId="8" state="visible" r:id="rId8"/>
    <sheet xmlns:r="http://schemas.openxmlformats.org/officeDocument/2006/relationships" name="7_Awareness_Progra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2"/>
    </font>
    <font>
      <b val="1"/>
      <color rgb="001F4E78"/>
      <sz val="28"/>
    </font>
    <font>
      <b val="1"/>
      <color rgb="001F4E78"/>
      <sz val="16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FFFF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164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vertical="center" wrapText="1"/>
    </xf>
    <xf numFmtId="0" fontId="0" fillId="6" borderId="0" pivotButton="0" quotePrefix="0" xfId="0"/>
    <xf numFmtId="0" fontId="0" fillId="5" borderId="0" pivotButton="0" quotePrefix="0" xfId="0"/>
    <xf numFmtId="165" fontId="0" fillId="6" borderId="0" pivotButton="0" quotePrefix="0" xfId="0"/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theme" Target="theme/theme1.xml"/><Relationship Id="rId5" Type="http://schemas.openxmlformats.org/officeDocument/2006/relationships/worksheet" Target="/xl/worksheets/sheet5.xml"/><Relationship Id="rId10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10" customWidth="1" min="4" max="4"/>
    <col width="16" customWidth="1" min="5" max="5"/>
    <col width="14" customWidth="1" min="6" max="6"/>
    <col width="14" customWidth="1" min="7" max="7"/>
    <col width="13" customWidth="1" min="8" max="8"/>
    <col width="10" customWidth="1" min="9" max="9"/>
  </cols>
  <sheetData>
    <row r="2">
      <c r="A2" s="1" t="inlineStr">
        <is>
          <t>Goa E-Waste Management Scorecard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B3" s="3" t="inlineStr">
        <is>
          <t>Live score out of 100, calculated from the 7 data sheets. Set benchmarks in the yellow 'Target/Benchmark' cells.</t>
        </is>
      </c>
    </row>
    <row r="5">
      <c r="B5" s="4" t="inlineStr">
        <is>
          <t>STATE SCORE</t>
        </is>
      </c>
      <c r="D5" s="5">
        <f>ROUND(H17,1)</f>
        <v/>
      </c>
      <c r="F5" s="6">
        <f>IF(H17&gt;=85,"EXCELLENT",IF(H17&gt;=65,"GOOD",IF(H17&gt;=45,"NEEDS IMPROVEMENT","CRITICAL")))</f>
        <v/>
      </c>
    </row>
    <row r="6"/>
    <row r="7"/>
    <row r="9">
      <c r="B9" s="7" t="inlineStr">
        <is>
          <t>#</t>
        </is>
      </c>
      <c r="C9" s="7" t="inlineStr">
        <is>
          <t>Category</t>
        </is>
      </c>
      <c r="D9" s="7" t="inlineStr">
        <is>
          <t>Weight</t>
        </is>
      </c>
      <c r="E9" s="7" t="inlineStr">
        <is>
          <t>Benchmark / Target</t>
        </is>
      </c>
      <c r="F9" s="7" t="inlineStr">
        <is>
          <t>Achieved Value</t>
        </is>
      </c>
      <c r="G9" s="7" t="inlineStr">
        <is>
          <t>Achievement %</t>
        </is>
      </c>
      <c r="H9" s="7" t="inlineStr">
        <is>
          <t>Score Earned</t>
        </is>
      </c>
    </row>
    <row r="10">
      <c r="B10" s="8" t="n">
        <v>1</v>
      </c>
      <c r="C10" s="8" t="inlineStr">
        <is>
          <t>Generation &amp; Inventory</t>
        </is>
      </c>
      <c r="D10" s="8" t="n">
        <v>15</v>
      </c>
      <c r="E10" s="9" t="n">
        <v>5</v>
      </c>
      <c r="F10" s="8">
        <f>COUNTIF('1_Generation_Inventory'!C6:C25,"?*")</f>
        <v/>
      </c>
      <c r="G10" s="10">
        <f>IF(ISERROR(MIN(F10/E10,1)),0,MIN(F10/E10,1))</f>
        <v/>
      </c>
      <c r="H10" s="8">
        <f>ROUND(G10*D10,1)</f>
        <v/>
      </c>
    </row>
    <row r="11">
      <c r="B11" t="n">
        <v>2</v>
      </c>
      <c r="C11" t="inlineStr">
        <is>
          <t>Collection Performance</t>
        </is>
      </c>
      <c r="D11" t="n">
        <v>20</v>
      </c>
      <c r="E11" s="9" t="n">
        <v>1</v>
      </c>
      <c r="F11">
        <f>IF(ISERROR('2_Collection_Log'!F27/'2_Collection_Log'!C27),0,'2_Collection_Log'!F27/'2_Collection_Log'!C27)</f>
        <v/>
      </c>
      <c r="G11" s="11">
        <f>IF(ISERROR(MIN(F11/E11,1)),0,MIN(F11/E11,1))</f>
        <v/>
      </c>
      <c r="H11">
        <f>ROUND(G11*D11,1)</f>
        <v/>
      </c>
    </row>
    <row r="12">
      <c r="B12" s="8" t="n">
        <v>3</v>
      </c>
      <c r="C12" s="8" t="inlineStr">
        <is>
          <t>Formal Recycling &amp; Treatment</t>
        </is>
      </c>
      <c r="D12" s="8" t="n">
        <v>20</v>
      </c>
      <c r="E12" s="9" t="n">
        <v>1</v>
      </c>
      <c r="F12" s="8">
        <f>IF(ISERROR(('3_Recycling_Infrastructure'!E28*1000)/'2_Collection_Log'!C27),0,('3_Recycling_Infrastructure'!E28*1000)/'2_Collection_Log'!C27)</f>
        <v/>
      </c>
      <c r="G12" s="10">
        <f>IF(ISERROR(MIN(F12/E12,1)),0,MIN(F12/E12,1))</f>
        <v/>
      </c>
      <c r="H12" s="8">
        <f>ROUND(G12*D12,1)</f>
        <v/>
      </c>
    </row>
    <row r="13">
      <c r="B13" t="n">
        <v>4</v>
      </c>
      <c r="C13" t="inlineStr">
        <is>
          <t>Regulatory Compliance</t>
        </is>
      </c>
      <c r="D13" t="n">
        <v>15</v>
      </c>
      <c r="E13" s="9" t="n">
        <v>1</v>
      </c>
      <c r="F13">
        <f>IF(ISERROR('4_Compliance_Tracker'!C28/'4_Compliance_Tracker'!C29),0,'4_Compliance_Tracker'!C28/'4_Compliance_Tracker'!C29)</f>
        <v/>
      </c>
      <c r="G13" s="11">
        <f>IF(ISERROR(MIN(F13/E13,1)),0,MIN(F13/E13,1))</f>
        <v/>
      </c>
      <c r="H13">
        <f>ROUND(G13*D13,1)</f>
        <v/>
      </c>
    </row>
    <row r="14">
      <c r="B14" s="8" t="n">
        <v>5</v>
      </c>
      <c r="C14" s="8" t="inlineStr">
        <is>
          <t>Informal Sector Integration</t>
        </is>
      </c>
      <c r="D14" s="8" t="n">
        <v>10</v>
      </c>
      <c r="E14" s="9" t="n">
        <v>1</v>
      </c>
      <c r="F14" s="8">
        <f>IF(ISERROR('5_Informal_Sector_Hotspots'!C29/'5_Informal_Sector_Hotspots'!C28),0,'5_Informal_Sector_Hotspots'!C29/'5_Informal_Sector_Hotspots'!C28)</f>
        <v/>
      </c>
      <c r="G14" s="10">
        <f>IF(ISERROR(MIN(F14/E14,1)),0,MIN(F14/E14,1))</f>
        <v/>
      </c>
      <c r="H14" s="8">
        <f>ROUND(G14*D14,1)</f>
        <v/>
      </c>
    </row>
    <row r="15">
      <c r="B15" t="n">
        <v>6</v>
      </c>
      <c r="C15" t="inlineStr">
        <is>
          <t>Environmental &amp; Health Safeguards</t>
        </is>
      </c>
      <c r="D15" t="n">
        <v>10</v>
      </c>
      <c r="E15" s="9" t="n">
        <v>1</v>
      </c>
      <c r="F15">
        <f>IF(ISERROR('6_Env_Health_Monitoring'!C28/'5_Informal_Sector_Hotspots'!C28),0,'6_Env_Health_Monitoring'!C28/'5_Informal_Sector_Hotspots'!C28)</f>
        <v/>
      </c>
      <c r="G15" s="11">
        <f>IF(ISERROR(MIN(F15/E15,1)),0,MIN(F15/E15,1))</f>
        <v/>
      </c>
      <c r="H15">
        <f>ROUND(G15*D15,1)</f>
        <v/>
      </c>
    </row>
    <row r="16">
      <c r="B16" s="8" t="n">
        <v>7</v>
      </c>
      <c r="C16" s="8" t="inlineStr">
        <is>
          <t>Awareness &amp; Outreach</t>
        </is>
      </c>
      <c r="D16" s="8" t="n">
        <v>10</v>
      </c>
      <c r="E16" s="9" t="n">
        <v>20</v>
      </c>
      <c r="F16" s="8">
        <f>'7_Awareness_Programs'!C28</f>
        <v/>
      </c>
      <c r="G16" s="10">
        <f>IF(ISERROR(MIN(F16/E16,1)),0,MIN(F16/E16,1))</f>
        <v/>
      </c>
      <c r="H16" s="8">
        <f>ROUND(G16*D16,1)</f>
        <v/>
      </c>
    </row>
    <row r="17">
      <c r="C17" s="12" t="inlineStr">
        <is>
          <t>TOTAL SCORE</t>
        </is>
      </c>
      <c r="D17" s="12">
        <f>SUM(D10:D16)</f>
        <v/>
      </c>
      <c r="H17" s="12">
        <f>SUM(H10:H16)</f>
        <v/>
      </c>
    </row>
    <row r="19">
      <c r="B19" s="12" t="inlineStr">
        <is>
          <t>Score Bands:</t>
        </is>
      </c>
    </row>
    <row r="20">
      <c r="B20" t="inlineStr">
        <is>
          <t>85-100</t>
        </is>
      </c>
      <c r="C20" t="inlineStr">
        <is>
          <t>Excellent</t>
        </is>
      </c>
    </row>
    <row r="21">
      <c r="B21" t="inlineStr">
        <is>
          <t>65-84</t>
        </is>
      </c>
      <c r="C21" t="inlineStr">
        <is>
          <t>Good</t>
        </is>
      </c>
    </row>
    <row r="22">
      <c r="B22" t="inlineStr">
        <is>
          <t>45-64</t>
        </is>
      </c>
      <c r="C22" t="inlineStr">
        <is>
          <t>Needs Improvement</t>
        </is>
      </c>
    </row>
    <row r="23">
      <c r="B23" t="inlineStr">
        <is>
          <t>0-44</t>
        </is>
      </c>
      <c r="C23" t="inlineStr">
        <is>
          <t>Critical</t>
        </is>
      </c>
    </row>
  </sheetData>
  <mergeCells count="5">
    <mergeCell ref="D5:E7"/>
    <mergeCell ref="A2:H2"/>
    <mergeCell ref="B5:C7"/>
    <mergeCell ref="B3:I3"/>
    <mergeCell ref="F5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10" customWidth="1" min="4" max="4"/>
    <col width="60" customWidth="1" min="5" max="5"/>
  </cols>
  <sheetData>
    <row r="2">
      <c r="A2" s="1" t="inlineStr">
        <is>
          <t>Goa E-Waste Management Tracker - Scoring Methodology</t>
        </is>
      </c>
      <c r="B2" s="2" t="n"/>
      <c r="C2" s="2" t="n"/>
      <c r="D2" s="2" t="n"/>
      <c r="E2" s="2" t="n"/>
      <c r="F2" s="2" t="n"/>
      <c r="G2" s="2" t="n"/>
      <c r="H2" s="2" t="n"/>
    </row>
    <row r="4">
      <c r="B4" s="3" t="inlineStr">
        <is>
          <t>A 100-point scorecard for monitoring state-level e-waste generation, collection, formal treatment, compliance, and health/environmental safeguards, in line with the E-Waste (Management) Rules, 2022 (CPCB, India) as implemented by the Goa State Pollution Control Board (GSPCB).</t>
        </is>
      </c>
    </row>
    <row r="6">
      <c r="B6" s="7" t="inlineStr">
        <is>
          <t>#</t>
        </is>
      </c>
      <c r="C6" s="7" t="inlineStr">
        <is>
          <t>Category</t>
        </is>
      </c>
      <c r="D6" s="7" t="inlineStr">
        <is>
          <t>Weight</t>
        </is>
      </c>
      <c r="E6" s="7" t="inlineStr">
        <is>
          <t>Indicators (data source sheet)</t>
        </is>
      </c>
    </row>
    <row r="7">
      <c r="B7" t="n">
        <v>1</v>
      </c>
      <c r="C7" t="inlineStr">
        <is>
          <t>Generation &amp; Inventory</t>
        </is>
      </c>
      <c r="D7" t="n">
        <v>15</v>
      </c>
      <c r="E7" s="13" t="inlineStr">
        <is>
          <t>District reporting completeness; category-wise breakup; annual inventory update  -&gt;  '1_Generation_Inventory'</t>
        </is>
      </c>
    </row>
    <row r="8">
      <c r="B8" t="n">
        <v>2</v>
      </c>
      <c r="C8" t="inlineStr">
        <is>
          <t>Collection Performance</t>
        </is>
      </c>
      <c r="D8" t="n">
        <v>20</v>
      </c>
      <c r="E8" s="13" t="inlineStr">
        <is>
          <t>Collection rate (%); collection centers per million population; EPR collection-target achievement  -&gt;  '2_Collection_Log'</t>
        </is>
      </c>
    </row>
    <row r="9">
      <c r="B9" t="n">
        <v>3</v>
      </c>
      <c r="C9" t="inlineStr">
        <is>
          <t>Formal Recycling &amp; Treatment</t>
        </is>
      </c>
      <c r="D9" t="n">
        <v>20</v>
      </c>
      <c r="E9" s="13" t="inlineStr">
        <is>
          <t>% processed by authorized recyclers; installed capacity vs generation; material recovery rate  -&gt;  '3_Recycling_Infrastructure'</t>
        </is>
      </c>
    </row>
    <row r="10">
      <c r="B10" t="n">
        <v>4</v>
      </c>
      <c r="C10" t="inlineStr">
        <is>
          <t>Regulatory Compliance</t>
        </is>
      </c>
      <c r="D10" t="n">
        <v>15</v>
      </c>
      <c r="E10" s="13" t="inlineStr">
        <is>
          <t>% producers/EPR entities compliant; inspections conducted vs planned; penalties resolved  -&gt;  '4_Compliance_Tracker'</t>
        </is>
      </c>
    </row>
    <row r="11">
      <c r="B11" t="n">
        <v>5</v>
      </c>
      <c r="C11" t="inlineStr">
        <is>
          <t>Informal Sector Integration</t>
        </is>
      </c>
      <c r="D11" t="n">
        <v>10</v>
      </c>
      <c r="E11" s="13" t="inlineStr">
        <is>
          <t>% hotspots formalized/remediated; % informal workers registered/trained  -&gt;  '5_Informal_Sector_Hotspots'</t>
        </is>
      </c>
    </row>
    <row r="12">
      <c r="B12" t="n">
        <v>6</v>
      </c>
      <c r="C12" t="inlineStr">
        <is>
          <t>Environmental &amp; Health Safeguards</t>
        </is>
      </c>
      <c r="D12" t="n">
        <v>10</v>
      </c>
      <c r="E12" s="13" t="inlineStr">
        <is>
          <t>% hotspots environmentally monitored; health screening camps conducted  -&gt;  '6_Env_Health_Monitoring'</t>
        </is>
      </c>
    </row>
    <row r="13">
      <c r="B13" t="n">
        <v>7</v>
      </c>
      <c r="C13" t="inlineStr">
        <is>
          <t>Awareness &amp; Outreach</t>
        </is>
      </c>
      <c r="D13" t="n">
        <v>10</v>
      </c>
      <c r="E13" s="13" t="inlineStr">
        <is>
          <t>Awareness campaigns vs target; collection drives vs target  -&gt;  '7_Awareness_Programs'</t>
        </is>
      </c>
    </row>
    <row r="14">
      <c r="C14" s="12" t="inlineStr">
        <is>
          <t>TOTAL</t>
        </is>
      </c>
      <c r="D14" s="12" t="n">
        <v>100</v>
      </c>
    </row>
    <row r="16">
      <c r="B16" s="12" t="inlineStr">
        <is>
          <t>How to use this workbook</t>
        </is>
      </c>
    </row>
    <row r="17">
      <c r="B17" s="13" t="inlineStr">
        <is>
          <t>- Enter data in the 7 numbered sheets (yellow cells = your input). Each sheet has starter rows for North Goa and South Goa - update with verified GSPCB/CPCB figures as they are published.</t>
        </is>
      </c>
    </row>
    <row r="18">
      <c r="B18" s="13" t="inlineStr">
        <is>
          <t>- Set your benchmarks/targets on the '0_Scorecard' sheet (yellow cells) - e.g. collection centers per million population, EPR targets, inspection/campaign targets.</t>
        </is>
      </c>
    </row>
    <row r="19">
      <c r="B19" s="13" t="inlineStr">
        <is>
          <t>- The '0_Scorecard' sheet pulls live figures from all 7 sheets and computes the state's score out of 100 automatically. Do not overwrite formula cells.</t>
        </is>
      </c>
    </row>
    <row r="20">
      <c r="B20" s="13" t="inlineStr">
        <is>
          <t>- Score bands (customisable on Scorecard): 85-100 Excellent | 65-84 Good | 45-64 Needs Improvement | Below 45 Critical.</t>
        </is>
      </c>
    </row>
    <row r="21">
      <c r="B21" s="13" t="inlineStr">
        <is>
          <t>- Re-run this tracker every quarter/year to monitor trend - copy the Scorecard total into a tracking log for year-on-year comparison.</t>
        </is>
      </c>
    </row>
    <row r="22">
      <c r="B22" s="13" t="inlineStr">
        <is>
          <t>- Population figures use Census 2011 district totals (North Goa 818,008 / South Goa 640,537); update once Census 2027/GSPCB projections are available.</t>
        </is>
      </c>
    </row>
  </sheetData>
  <mergeCells count="2">
    <mergeCell ref="B4:H4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6" customWidth="1" min="4" max="4"/>
    <col width="20" customWidth="1" min="5" max="5"/>
    <col width="18" customWidth="1" min="6" max="6"/>
    <col width="16" customWidth="1" min="7" max="7"/>
    <col width="14" customWidth="1" min="8" max="8"/>
    <col width="12" customWidth="1" min="9" max="9"/>
    <col width="15" customWidth="1" min="10" max="10"/>
    <col width="16" customWidth="1" min="11" max="11"/>
  </cols>
  <sheetData>
    <row r="2">
      <c r="A2" s="1" t="inlineStr">
        <is>
          <t>Generation Inventory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B3" s="3" t="inlineStr">
        <is>
          <t>One row per district. Category-wise breakup based on E-Waste (Management) Rules, 2022, Schedule I (simplified). District population from Census 2011.</t>
        </is>
      </c>
    </row>
    <row r="5">
      <c r="B5" s="7" t="inlineStr">
        <is>
          <t>District</t>
        </is>
      </c>
      <c r="C5" s="7" t="inlineStr">
        <is>
          <t>Population</t>
        </is>
      </c>
      <c r="D5" s="7" t="inlineStr">
        <is>
          <t>IT &amp; Telecom (kg)</t>
        </is>
      </c>
      <c r="E5" s="7" t="inlineStr">
        <is>
          <t>Consumer Electrical &amp; Electronics (kg)</t>
        </is>
      </c>
      <c r="F5" s="7" t="inlineStr">
        <is>
          <t>Large &amp; Small Equipment (kg)</t>
        </is>
      </c>
      <c r="G5" s="7" t="inlineStr">
        <is>
          <t>Lighting Equipment (kg)</t>
        </is>
      </c>
      <c r="H5" s="7" t="inlineStr">
        <is>
          <t>Batteries (kg)</t>
        </is>
      </c>
      <c r="I5" s="7" t="inlineStr">
        <is>
          <t>Other (kg)</t>
        </is>
      </c>
      <c r="J5" s="7" t="inlineStr">
        <is>
          <t>Total Generated (kg)</t>
        </is>
      </c>
      <c r="K5" s="7" t="inlineStr">
        <is>
          <t>Date Last Updated</t>
        </is>
      </c>
    </row>
    <row r="6">
      <c r="B6" t="inlineStr">
        <is>
          <t>North Goa</t>
        </is>
      </c>
      <c r="C6" t="n">
        <v>818008</v>
      </c>
      <c r="D6" t="n">
        <v>301027</v>
      </c>
      <c r="E6" t="n">
        <v>225770</v>
      </c>
      <c r="F6" t="n">
        <v>188142</v>
      </c>
      <c r="G6" t="n">
        <v>75257</v>
      </c>
      <c r="H6" t="n">
        <v>94071</v>
      </c>
      <c r="I6" t="n">
        <v>56442</v>
      </c>
      <c r="J6">
        <f>IF(SUM(D6:I6)=0,"",SUM(D6:I6))</f>
        <v/>
      </c>
      <c r="K6" t="inlineStr">
        <is>
          <t>31-03-2026</t>
        </is>
      </c>
    </row>
    <row r="7">
      <c r="B7" s="8" t="inlineStr">
        <is>
          <t>South Goa</t>
        </is>
      </c>
      <c r="C7" s="8" t="n">
        <v>640537</v>
      </c>
      <c r="D7" s="8" t="n">
        <v>235718</v>
      </c>
      <c r="E7" s="8" t="n">
        <v>176788</v>
      </c>
      <c r="F7" s="8" t="n">
        <v>147324</v>
      </c>
      <c r="G7" s="8" t="n">
        <v>58929</v>
      </c>
      <c r="H7" s="8" t="n">
        <v>73662</v>
      </c>
      <c r="I7" s="8" t="n">
        <v>44197</v>
      </c>
      <c r="J7" s="8">
        <f>IF(SUM(D7:I7)=0,"",SUM(D7:I7))</f>
        <v/>
      </c>
      <c r="K7" s="8" t="inlineStr">
        <is>
          <t>31-03-2026</t>
        </is>
      </c>
    </row>
    <row r="8">
      <c r="J8">
        <f>IF(SUM(D8:I8)=0,"",SUM(D8:I8))</f>
        <v/>
      </c>
    </row>
    <row r="9">
      <c r="J9">
        <f>IF(SUM(D9:I9)=0,"",SUM(D9:I9))</f>
        <v/>
      </c>
    </row>
    <row r="10">
      <c r="J10">
        <f>IF(SUM(D10:I10)=0,"",SUM(D10:I10))</f>
        <v/>
      </c>
    </row>
    <row r="11">
      <c r="J11">
        <f>IF(SUM(D11:I11)=0,"",SUM(D11:I11))</f>
        <v/>
      </c>
    </row>
    <row r="12">
      <c r="J12">
        <f>IF(SUM(D12:I12)=0,"",SUM(D12:I12))</f>
        <v/>
      </c>
    </row>
    <row r="13">
      <c r="J13">
        <f>IF(SUM(D13:I13)=0,"",SUM(D13:I13))</f>
        <v/>
      </c>
    </row>
    <row r="14">
      <c r="J14">
        <f>IF(SUM(D14:I14)=0,"",SUM(D14:I14))</f>
        <v/>
      </c>
    </row>
    <row r="15">
      <c r="J15">
        <f>IF(SUM(D15:I15)=0,"",SUM(D15:I15))</f>
        <v/>
      </c>
    </row>
    <row r="16">
      <c r="J16">
        <f>IF(SUM(D16:I16)=0,"",SUM(D16:I16))</f>
        <v/>
      </c>
    </row>
    <row r="17">
      <c r="J17">
        <f>IF(SUM(D17:I17)=0,"",SUM(D17:I17))</f>
        <v/>
      </c>
    </row>
    <row r="18">
      <c r="J18">
        <f>IF(SUM(D18:I18)=0,"",SUM(D18:I18))</f>
        <v/>
      </c>
    </row>
    <row r="19">
      <c r="J19">
        <f>IF(SUM(D19:I19)=0,"",SUM(D19:I19))</f>
        <v/>
      </c>
    </row>
    <row r="20">
      <c r="J20">
        <f>IF(SUM(D20:I20)=0,"",SUM(D20:I20))</f>
        <v/>
      </c>
    </row>
    <row r="21">
      <c r="J21">
        <f>IF(SUM(D21:I21)=0,"",SUM(D21:I21))</f>
        <v/>
      </c>
    </row>
    <row r="22">
      <c r="J22">
        <f>IF(SUM(D22:I22)=0,"",SUM(D22:I22))</f>
        <v/>
      </c>
    </row>
    <row r="23">
      <c r="J23">
        <f>IF(SUM(D23:I23)=0,"",SUM(D23:I23))</f>
        <v/>
      </c>
    </row>
    <row r="24">
      <c r="J24">
        <f>IF(SUM(D24:I24)=0,"",SUM(D24:I24))</f>
        <v/>
      </c>
    </row>
    <row r="25">
      <c r="J25">
        <f>IF(SUM(D25:I25)=0,"",SUM(D25:I25))</f>
        <v/>
      </c>
    </row>
    <row r="27">
      <c r="B27" s="12" t="inlineStr">
        <is>
          <t>STATE TOTAL</t>
        </is>
      </c>
      <c r="C27" s="12">
        <f>SUM(C6:C25)</f>
        <v/>
      </c>
      <c r="D27" s="12">
        <f>SUM(D6:D25)</f>
        <v/>
      </c>
      <c r="E27" s="12">
        <f>SUM(E6:E25)</f>
        <v/>
      </c>
      <c r="F27" s="12">
        <f>SUM(F6:F25)</f>
        <v/>
      </c>
      <c r="G27" s="12">
        <f>SUM(G6:G25)</f>
        <v/>
      </c>
      <c r="H27" s="12">
        <f>SUM(H6:H25)</f>
        <v/>
      </c>
      <c r="I27" s="12">
        <f>SUM(I6:I25)</f>
        <v/>
      </c>
      <c r="J27" s="12">
        <f>SUM(J6:J25)</f>
        <v/>
      </c>
    </row>
  </sheetData>
  <mergeCells count="2">
    <mergeCell ref="B3:K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14" customWidth="1" min="4" max="4"/>
    <col width="18" customWidth="1" min="5" max="5"/>
    <col width="18" customWidth="1" min="6" max="6"/>
    <col width="20" customWidth="1" min="7" max="7"/>
    <col width="50" customWidth="1" min="8" max="8"/>
  </cols>
  <sheetData>
    <row r="2">
      <c r="A2" s="1" t="inlineStr">
        <is>
          <t>Collection Log</t>
        </is>
      </c>
      <c r="B2" s="2" t="n"/>
      <c r="C2" s="2" t="n"/>
      <c r="D2" s="2" t="n"/>
      <c r="E2" s="2" t="n"/>
      <c r="F2" s="2" t="n"/>
      <c r="G2" s="2" t="n"/>
      <c r="H2" s="2" t="n"/>
    </row>
    <row r="3">
      <c r="B3" s="3" t="inlineStr">
        <is>
          <t>One row per district. 'Generated' auto-pulls from Sheet 1 by district name - keep district names identical across sheets.</t>
        </is>
      </c>
    </row>
    <row r="5">
      <c r="B5" s="7" t="inlineStr">
        <is>
          <t>District</t>
        </is>
      </c>
      <c r="C5" s="7" t="inlineStr">
        <is>
          <t>Generated (kg) [from Sheet 1]</t>
        </is>
      </c>
      <c r="D5" s="7" t="inlineStr">
        <is>
          <t>Collected (kg)</t>
        </is>
      </c>
      <c r="E5" s="7" t="inlineStr">
        <is>
          <t>Registered Collection Centers</t>
        </is>
      </c>
      <c r="F5" s="7" t="inlineStr">
        <is>
          <t>EPR Collection Target (kg)</t>
        </is>
      </c>
      <c r="G5" s="7" t="inlineStr">
        <is>
          <t>EPR Collection Achieved (kg)</t>
        </is>
      </c>
      <c r="H5" s="7" t="inlineStr">
        <is>
          <t>Remarks</t>
        </is>
      </c>
    </row>
    <row r="6">
      <c r="B6" t="inlineStr">
        <is>
          <t>North Goa</t>
        </is>
      </c>
      <c r="C6">
        <f>IF(ISERROR(INDEX('1_Generation_Inventory'!$J$6:$J$25,MATCH(B6,'1_Generation_Inventory'!$B$6:$B$25,0))),0,INDEX('1_Generation_Inventory'!$J$6:$J$25,MATCH(B6,'1_Generation_Inventory'!$B$6:$B$25,0)))</f>
        <v/>
      </c>
      <c r="D6" t="n">
        <v>658500</v>
      </c>
      <c r="E6" t="n">
        <v>18</v>
      </c>
      <c r="F6" t="n">
        <v>1034780</v>
      </c>
      <c r="G6" t="n">
        <v>812600</v>
      </c>
      <c r="H6" s="13" t="inlineStr">
        <is>
          <t>Collected via GSPCB-authorised collection centers and Karo Sambhav (PRO) buy-back/drop-off points across Panaji, Mapusa and Bicholim</t>
        </is>
      </c>
    </row>
    <row r="7">
      <c r="B7" s="8" t="inlineStr">
        <is>
          <t>South Goa</t>
        </is>
      </c>
      <c r="C7" s="8">
        <f>IF(ISERROR(INDEX('1_Generation_Inventory'!$J$6:$J$25,MATCH(B7,'1_Generation_Inventory'!$B$6:$B$25,0))),0,INDEX('1_Generation_Inventory'!$J$6:$J$25,MATCH(B7,'1_Generation_Inventory'!$B$6:$B$25,0)))</f>
        <v/>
      </c>
      <c r="D7" s="8" t="n">
        <v>478800</v>
      </c>
      <c r="E7" s="8" t="n">
        <v>14</v>
      </c>
      <c r="F7" s="8" t="n">
        <v>810280</v>
      </c>
      <c r="G7" s="8" t="n">
        <v>636500</v>
      </c>
      <c r="H7" s="14" t="inlineStr">
        <is>
          <t>Collected via GSPCB-authorised collection centers and Karo Sambhav (PRO) buy-back points, plus V Recycling Industries LLP collection at Salcete</t>
        </is>
      </c>
    </row>
    <row r="8">
      <c r="C8">
        <f>IF(ISERROR(INDEX('1_Generation_Inventory'!$J$6:$J$25,MATCH(B8,'1_Generation_Inventory'!$B$6:$B$25,0))),"",INDEX('1_Generation_Inventory'!$J$6:$J$25,MATCH(B8,'1_Generation_Inventory'!$B$6:$B$25,0)))</f>
        <v/>
      </c>
    </row>
    <row r="9">
      <c r="C9">
        <f>IF(ISERROR(INDEX('1_Generation_Inventory'!$J$6:$J$25,MATCH(B9,'1_Generation_Inventory'!$B$6:$B$25,0))),"",INDEX('1_Generation_Inventory'!$J$6:$J$25,MATCH(B9,'1_Generation_Inventory'!$B$6:$B$25,0)))</f>
        <v/>
      </c>
    </row>
    <row r="10">
      <c r="C10">
        <f>IF(ISERROR(INDEX('1_Generation_Inventory'!$J$6:$J$25,MATCH(B10,'1_Generation_Inventory'!$B$6:$B$25,0))),"",INDEX('1_Generation_Inventory'!$J$6:$J$25,MATCH(B10,'1_Generation_Inventory'!$B$6:$B$25,0)))</f>
        <v/>
      </c>
    </row>
    <row r="11">
      <c r="C11">
        <f>IF(ISERROR(INDEX('1_Generation_Inventory'!$J$6:$J$25,MATCH(B11,'1_Generation_Inventory'!$B$6:$B$25,0))),"",INDEX('1_Generation_Inventory'!$J$6:$J$25,MATCH(B11,'1_Generation_Inventory'!$B$6:$B$25,0)))</f>
        <v/>
      </c>
    </row>
    <row r="12">
      <c r="C12">
        <f>IF(ISERROR(INDEX('1_Generation_Inventory'!$J$6:$J$25,MATCH(B12,'1_Generation_Inventory'!$B$6:$B$25,0))),"",INDEX('1_Generation_Inventory'!$J$6:$J$25,MATCH(B12,'1_Generation_Inventory'!$B$6:$B$25,0)))</f>
        <v/>
      </c>
    </row>
    <row r="13">
      <c r="C13">
        <f>IF(ISERROR(INDEX('1_Generation_Inventory'!$J$6:$J$25,MATCH(B13,'1_Generation_Inventory'!$B$6:$B$25,0))),"",INDEX('1_Generation_Inventory'!$J$6:$J$25,MATCH(B13,'1_Generation_Inventory'!$B$6:$B$25,0)))</f>
        <v/>
      </c>
    </row>
    <row r="14">
      <c r="C14">
        <f>IF(ISERROR(INDEX('1_Generation_Inventory'!$J$6:$J$25,MATCH(B14,'1_Generation_Inventory'!$B$6:$B$25,0))),"",INDEX('1_Generation_Inventory'!$J$6:$J$25,MATCH(B14,'1_Generation_Inventory'!$B$6:$B$25,0)))</f>
        <v/>
      </c>
    </row>
    <row r="15">
      <c r="C15">
        <f>IF(ISERROR(INDEX('1_Generation_Inventory'!$J$6:$J$25,MATCH(B15,'1_Generation_Inventory'!$B$6:$B$25,0))),"",INDEX('1_Generation_Inventory'!$J$6:$J$25,MATCH(B15,'1_Generation_Inventory'!$B$6:$B$25,0)))</f>
        <v/>
      </c>
    </row>
    <row r="16">
      <c r="C16">
        <f>IF(ISERROR(INDEX('1_Generation_Inventory'!$J$6:$J$25,MATCH(B16,'1_Generation_Inventory'!$B$6:$B$25,0))),"",INDEX('1_Generation_Inventory'!$J$6:$J$25,MATCH(B16,'1_Generation_Inventory'!$B$6:$B$25,0)))</f>
        <v/>
      </c>
    </row>
    <row r="17">
      <c r="C17">
        <f>IF(ISERROR(INDEX('1_Generation_Inventory'!$J$6:$J$25,MATCH(B17,'1_Generation_Inventory'!$B$6:$B$25,0))),"",INDEX('1_Generation_Inventory'!$J$6:$J$25,MATCH(B17,'1_Generation_Inventory'!$B$6:$B$25,0)))</f>
        <v/>
      </c>
    </row>
    <row r="18">
      <c r="C18">
        <f>IF(ISERROR(INDEX('1_Generation_Inventory'!$J$6:$J$25,MATCH(B18,'1_Generation_Inventory'!$B$6:$B$25,0))),"",INDEX('1_Generation_Inventory'!$J$6:$J$25,MATCH(B18,'1_Generation_Inventory'!$B$6:$B$25,0)))</f>
        <v/>
      </c>
    </row>
    <row r="19">
      <c r="C19">
        <f>IF(ISERROR(INDEX('1_Generation_Inventory'!$J$6:$J$25,MATCH(B19,'1_Generation_Inventory'!$B$6:$B$25,0))),"",INDEX('1_Generation_Inventory'!$J$6:$J$25,MATCH(B19,'1_Generation_Inventory'!$B$6:$B$25,0)))</f>
        <v/>
      </c>
    </row>
    <row r="20">
      <c r="C20">
        <f>IF(ISERROR(INDEX('1_Generation_Inventory'!$J$6:$J$25,MATCH(B20,'1_Generation_Inventory'!$B$6:$B$25,0))),"",INDEX('1_Generation_Inventory'!$J$6:$J$25,MATCH(B20,'1_Generation_Inventory'!$B$6:$B$25,0)))</f>
        <v/>
      </c>
    </row>
    <row r="21">
      <c r="C21">
        <f>IF(ISERROR(INDEX('1_Generation_Inventory'!$J$6:$J$25,MATCH(B21,'1_Generation_Inventory'!$B$6:$B$25,0))),"",INDEX('1_Generation_Inventory'!$J$6:$J$25,MATCH(B21,'1_Generation_Inventory'!$B$6:$B$25,0)))</f>
        <v/>
      </c>
    </row>
    <row r="22">
      <c r="C22">
        <f>IF(ISERROR(INDEX('1_Generation_Inventory'!$J$6:$J$25,MATCH(B22,'1_Generation_Inventory'!$B$6:$B$25,0))),"",INDEX('1_Generation_Inventory'!$J$6:$J$25,MATCH(B22,'1_Generation_Inventory'!$B$6:$B$25,0)))</f>
        <v/>
      </c>
    </row>
    <row r="23">
      <c r="C23">
        <f>IF(ISERROR(INDEX('1_Generation_Inventory'!$J$6:$J$25,MATCH(B23,'1_Generation_Inventory'!$B$6:$B$25,0))),"",INDEX('1_Generation_Inventory'!$J$6:$J$25,MATCH(B23,'1_Generation_Inventory'!$B$6:$B$25,0)))</f>
        <v/>
      </c>
    </row>
    <row r="24">
      <c r="C24">
        <f>IF(ISERROR(INDEX('1_Generation_Inventory'!$J$6:$J$25,MATCH(B24,'1_Generation_Inventory'!$B$6:$B$25,0))),"",INDEX('1_Generation_Inventory'!$J$6:$J$25,MATCH(B24,'1_Generation_Inventory'!$B$6:$B$25,0)))</f>
        <v/>
      </c>
    </row>
    <row r="25">
      <c r="C25">
        <f>IF(ISERROR(INDEX('1_Generation_Inventory'!$J$6:$J$25,MATCH(B25,'1_Generation_Inventory'!$B$6:$B$25,0))),"",INDEX('1_Generation_Inventory'!$J$6:$J$25,MATCH(B25,'1_Generation_Inventory'!$B$6:$B$25,0)))</f>
        <v/>
      </c>
    </row>
    <row r="27">
      <c r="B27" s="12" t="inlineStr">
        <is>
          <t>STATE TOTAL</t>
        </is>
      </c>
      <c r="C27" s="12">
        <f>SUM(C6:C25)</f>
        <v/>
      </c>
      <c r="D27" s="12">
        <f>SUM(D6:D25)</f>
        <v/>
      </c>
      <c r="E27" s="12">
        <f>SUM(E6:E25)</f>
        <v/>
      </c>
      <c r="F27" s="12">
        <f>SUM(F6:F25)</f>
        <v/>
      </c>
      <c r="G27" s="12">
        <f>SUM(G6:G25)</f>
        <v/>
      </c>
    </row>
  </sheetData>
  <mergeCells count="2">
    <mergeCell ref="B3:H3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2" customWidth="1" min="3" max="3"/>
    <col width="18" customWidth="1" min="4" max="4"/>
    <col width="18" customWidth="1" min="5" max="5"/>
    <col width="22" customWidth="1" min="6" max="6"/>
    <col width="16" customWidth="1" min="7" max="7"/>
    <col width="16" customWidth="1" min="8" max="8"/>
  </cols>
  <sheetData>
    <row r="2">
      <c r="A2" s="1" t="inlineStr">
        <is>
          <t>Recycling Infrastructure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B3" s="3" t="inlineStr">
        <is>
          <t>One row per CPCB/GSPCB-authorized recycler or dismantler operating in the state (per GSPCB circular dated 04-06-2024 and CPCB registrations).</t>
        </is>
      </c>
    </row>
    <row r="5">
      <c r="B5" s="7" t="inlineStr">
        <is>
          <t>Recycler / Dismantler Name</t>
        </is>
      </c>
      <c r="C5" s="7" t="inlineStr">
        <is>
          <t>CPCB/GSPCB Authorization No.</t>
        </is>
      </c>
      <c r="D5" s="7" t="inlineStr">
        <is>
          <t>District</t>
        </is>
      </c>
      <c r="E5" s="7" t="inlineStr">
        <is>
          <t>Installed Capacity (tonnes/yr)</t>
        </is>
      </c>
      <c r="F5" s="7" t="inlineStr">
        <is>
          <t>Quantity Processed This Year (tonnes)</t>
        </is>
      </c>
      <c r="G5" s="7" t="inlineStr">
        <is>
          <t>Material Recovery Rate (%)</t>
        </is>
      </c>
      <c r="H5" s="7" t="inlineStr">
        <is>
          <t>Authorization Valid Till</t>
        </is>
      </c>
    </row>
    <row r="6">
      <c r="B6" s="13" t="inlineStr">
        <is>
          <t>Global E-Waste Management System (GEMS)</t>
        </is>
      </c>
      <c r="C6" t="inlineStr">
        <is>
          <t>GSPCB Authorised E-Waste Recycler-cum-Dismantler</t>
        </is>
      </c>
      <c r="D6" t="inlineStr">
        <is>
          <t>North Goa</t>
        </is>
      </c>
      <c r="E6" t="n">
        <v>100</v>
      </c>
      <c r="F6" t="n">
        <v>78</v>
      </c>
      <c r="G6" s="11" t="n">
        <v>0.76</v>
      </c>
      <c r="H6" t="inlineStr">
        <is>
          <t>31-03-2027</t>
        </is>
      </c>
    </row>
    <row r="7">
      <c r="B7" s="14" t="inlineStr">
        <is>
          <t>V Recycling Industries LLP - Sao Jose de Areal</t>
        </is>
      </c>
      <c r="C7" s="8" t="inlineStr">
        <is>
          <t>GSPCB Authorised Dismantler</t>
        </is>
      </c>
      <c r="D7" s="8" t="inlineStr">
        <is>
          <t>South Goa</t>
        </is>
      </c>
      <c r="E7" s="8" t="n">
        <v>1500</v>
      </c>
      <c r="F7" s="8" t="n">
        <v>980</v>
      </c>
      <c r="G7" s="10" t="n">
        <v>0.74</v>
      </c>
      <c r="H7" s="8" t="inlineStr">
        <is>
          <t>31-03-2027</t>
        </is>
      </c>
    </row>
    <row r="8">
      <c r="B8" s="13" t="inlineStr">
        <is>
          <t>V Recycling Industries LLP - Fatorda</t>
        </is>
      </c>
      <c r="C8" t="inlineStr">
        <is>
          <t>GSPCB Authorised Dismantler</t>
        </is>
      </c>
      <c r="D8" t="inlineStr">
        <is>
          <t>South Goa</t>
        </is>
      </c>
      <c r="E8" t="n">
        <v>1200</v>
      </c>
      <c r="F8" t="n">
        <v>790</v>
      </c>
      <c r="G8" s="11" t="n">
        <v>0.72</v>
      </c>
      <c r="H8" t="inlineStr">
        <is>
          <t>31-03-2027</t>
        </is>
      </c>
    </row>
    <row r="9">
      <c r="B9" s="14" t="inlineStr">
        <is>
          <t>Group TenPlus</t>
        </is>
      </c>
      <c r="C9" s="8" t="inlineStr">
        <is>
          <t>GSPCB Authorised Dismantler</t>
        </is>
      </c>
      <c r="D9" s="8" t="inlineStr">
        <is>
          <t>Goa (statewide authorisation)</t>
        </is>
      </c>
      <c r="E9" s="8" t="n">
        <v>500</v>
      </c>
      <c r="F9" s="8" t="n">
        <v>310</v>
      </c>
      <c r="G9" s="10" t="n">
        <v>0.68</v>
      </c>
      <c r="H9" s="8" t="inlineStr">
        <is>
          <t>31-03-2027</t>
        </is>
      </c>
    </row>
    <row r="28">
      <c r="B28" s="12" t="inlineStr">
        <is>
          <t>STATE TOTAL</t>
        </is>
      </c>
      <c r="E28" s="12">
        <f>SUM(E6:E26)</f>
        <v/>
      </c>
      <c r="F28" s="12">
        <f>SUM(F6:F26)</f>
        <v/>
      </c>
      <c r="G28" s="15">
        <f>IF(ISERROR(AVERAGE(G6:G26)),0,AVERAGE(G6:G26))</f>
        <v/>
      </c>
    </row>
  </sheetData>
  <mergeCells count="2">
    <mergeCell ref="B3:H3"/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6" customWidth="1" min="5" max="5"/>
    <col width="16" customWidth="1" min="6" max="6"/>
    <col width="18" customWidth="1" min="7" max="7"/>
    <col width="16" customWidth="1" min="8" max="8"/>
    <col width="45" customWidth="1" min="9" max="9"/>
  </cols>
  <sheetData>
    <row r="2">
      <c r="A2" s="1" t="inlineStr">
        <is>
          <t>Compliance Tracker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One row per registered producer / EPR entity operating in the state.</t>
        </is>
      </c>
    </row>
    <row r="5">
      <c r="B5" s="7" t="inlineStr">
        <is>
          <t>Producer / EPR Entity</t>
        </is>
      </c>
      <c r="C5" s="7" t="inlineStr">
        <is>
          <t>EPR Registration No.</t>
        </is>
      </c>
      <c r="D5" s="7" t="inlineStr">
        <is>
          <t>Compliance Status</t>
        </is>
      </c>
      <c r="E5" s="7" t="inlineStr">
        <is>
          <t>Inspection Planned (Y/N)</t>
        </is>
      </c>
      <c r="F5" s="7" t="inlineStr">
        <is>
          <t>Inspection Conducted (Y/N)</t>
        </is>
      </c>
      <c r="G5" s="7" t="inlineStr">
        <is>
          <t>Penalty / Show-Cause Issued (Y/N)</t>
        </is>
      </c>
      <c r="H5" s="7" t="inlineStr">
        <is>
          <t>Penalty Resolved (Y/N)</t>
        </is>
      </c>
      <c r="I5" s="7" t="inlineStr">
        <is>
          <t>Remarks</t>
        </is>
      </c>
    </row>
    <row r="6">
      <c r="B6" t="inlineStr">
        <is>
          <t>Registered Producer / EPR Entity 1</t>
        </is>
      </c>
      <c r="C6" t="inlineStr">
        <is>
          <t>EPR/2024/GA/001</t>
        </is>
      </c>
      <c r="D6" t="inlineStr">
        <is>
          <t>Compliant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N/A</t>
        </is>
      </c>
      <c r="I6" s="13" t="inlineStr">
        <is>
          <t>Annual EPR recycling target met; collection routed via Karo Sambhav (PRO)</t>
        </is>
      </c>
    </row>
    <row r="7">
      <c r="B7" s="8" t="inlineStr">
        <is>
          <t>Registered Producer / EPR Entity 2</t>
        </is>
      </c>
      <c r="C7" s="8" t="inlineStr">
        <is>
          <t>EPR/2024/GA/002</t>
        </is>
      </c>
      <c r="D7" s="8" t="inlineStr">
        <is>
          <t>Compliant</t>
        </is>
      </c>
      <c r="E7" s="8" t="inlineStr">
        <is>
          <t>Yes</t>
        </is>
      </c>
      <c r="F7" s="8" t="inlineStr">
        <is>
          <t>Yes</t>
        </is>
      </c>
      <c r="G7" s="8" t="inlineStr">
        <is>
          <t>No</t>
        </is>
      </c>
      <c r="H7" s="8" t="inlineStr">
        <is>
          <t>N/A</t>
        </is>
      </c>
      <c r="I7" s="14" t="inlineStr">
        <is>
          <t>Target met via GEMS tie-up</t>
        </is>
      </c>
    </row>
    <row r="8">
      <c r="B8" t="inlineStr">
        <is>
          <t>Registered Producer / EPR Entity 3</t>
        </is>
      </c>
      <c r="C8" t="inlineStr">
        <is>
          <t>EPR/2024/GA/003</t>
        </is>
      </c>
      <c r="D8" t="inlineStr">
        <is>
          <t>Compliant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N/A</t>
        </is>
      </c>
      <c r="I8" s="13" t="inlineStr">
        <is>
          <t>Target met</t>
        </is>
      </c>
    </row>
    <row r="9">
      <c r="B9" s="8" t="inlineStr">
        <is>
          <t>Registered Producer / EPR Entity 4</t>
        </is>
      </c>
      <c r="C9" s="8" t="inlineStr">
        <is>
          <t>EPR/2024/GA/004</t>
        </is>
      </c>
      <c r="D9" s="8" t="inlineStr">
        <is>
          <t>Partially Compliant</t>
        </is>
      </c>
      <c r="E9" s="8" t="inlineStr">
        <is>
          <t>Yes</t>
        </is>
      </c>
      <c r="F9" s="8" t="inlineStr">
        <is>
          <t>Yes</t>
        </is>
      </c>
      <c r="G9" s="8" t="inlineStr">
        <is>
          <t>Yes</t>
        </is>
      </c>
      <c r="H9" s="8" t="inlineStr">
        <is>
          <t>No</t>
        </is>
      </c>
      <c r="I9" s="14" t="inlineStr">
        <is>
          <t>EPR target under-achieved; show-cause issued by GSPCB</t>
        </is>
      </c>
    </row>
    <row r="10">
      <c r="B10" t="inlineStr">
        <is>
          <t>Registered Producer / EPR Entity 5</t>
        </is>
      </c>
      <c r="C10" t="inlineStr">
        <is>
          <t>EPR/2024/GA/005</t>
        </is>
      </c>
      <c r="D10" t="inlineStr">
        <is>
          <t>Compliant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N/A</t>
        </is>
      </c>
      <c r="I10" s="13" t="inlineStr">
        <is>
          <t>Inspection pending, self-reported compliant</t>
        </is>
      </c>
    </row>
    <row r="11">
      <c r="B11" s="8" t="inlineStr">
        <is>
          <t>Registered Producer / EPR Entity 6</t>
        </is>
      </c>
      <c r="C11" s="8" t="inlineStr">
        <is>
          <t>EPR/2024/GA/006</t>
        </is>
      </c>
      <c r="D11" s="8" t="inlineStr">
        <is>
          <t>Compliant</t>
        </is>
      </c>
      <c r="E11" s="8" t="inlineStr">
        <is>
          <t>Yes</t>
        </is>
      </c>
      <c r="F11" s="8" t="inlineStr">
        <is>
          <t>Yes</t>
        </is>
      </c>
      <c r="G11" s="8" t="inlineStr">
        <is>
          <t>No</t>
        </is>
      </c>
      <c r="H11" s="8" t="inlineStr">
        <is>
          <t>N/A</t>
        </is>
      </c>
      <c r="I11" s="14" t="inlineStr">
        <is>
          <t>Target met via V Recycling Industries LLP tie-up</t>
        </is>
      </c>
    </row>
    <row r="12">
      <c r="B12" t="inlineStr">
        <is>
          <t>Registered Producer / EPR Entity 7</t>
        </is>
      </c>
      <c r="C12" t="inlineStr">
        <is>
          <t>EPR/2024/GA/007</t>
        </is>
      </c>
      <c r="D12" t="inlineStr">
        <is>
          <t>Non-Compliant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No</t>
        </is>
      </c>
      <c r="I12" s="13" t="inlineStr">
        <is>
          <t>Penalty proceedings ongoing with GSPCB</t>
        </is>
      </c>
    </row>
    <row r="13">
      <c r="B13" s="8" t="inlineStr">
        <is>
          <t>Registered Producer / EPR Entity 8</t>
        </is>
      </c>
      <c r="C13" s="8" t="inlineStr">
        <is>
          <t>EPR/2024/GA/008</t>
        </is>
      </c>
      <c r="D13" s="8" t="inlineStr">
        <is>
          <t>Compliant</t>
        </is>
      </c>
      <c r="E13" s="8" t="inlineStr">
        <is>
          <t>Yes</t>
        </is>
      </c>
      <c r="F13" s="8" t="inlineStr">
        <is>
          <t>Yes</t>
        </is>
      </c>
      <c r="G13" s="8" t="inlineStr">
        <is>
          <t>No</t>
        </is>
      </c>
      <c r="H13" s="8" t="inlineStr">
        <is>
          <t>N/A</t>
        </is>
      </c>
      <c r="I13" s="14" t="inlineStr">
        <is>
          <t>Target met</t>
        </is>
      </c>
    </row>
    <row r="28">
      <c r="B28" s="12" t="inlineStr">
        <is>
          <t>Compliant</t>
        </is>
      </c>
      <c r="C28">
        <f>COUNTIF(D6:D26,"Compliant")</f>
        <v/>
      </c>
    </row>
    <row r="29">
      <c r="B29" s="12" t="inlineStr">
        <is>
          <t>Total Registered</t>
        </is>
      </c>
      <c r="C29">
        <f>COUNTA(B6:B26)</f>
        <v/>
      </c>
    </row>
    <row r="30">
      <c r="B30" s="12" t="inlineStr">
        <is>
          <t>Inspections Planned</t>
        </is>
      </c>
      <c r="C30">
        <f>COUNTIF(E6:E26,"Yes")</f>
        <v/>
      </c>
    </row>
  </sheetData>
  <mergeCells count="2">
    <mergeCell ref="B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8" customWidth="1" min="4" max="4"/>
    <col width="18" customWidth="1" min="5" max="5"/>
    <col width="18" customWidth="1" min="6" max="6"/>
    <col width="40" customWidth="1" min="7" max="7"/>
    <col width="30" customWidth="1" min="8" max="8"/>
  </cols>
  <sheetData>
    <row r="2">
      <c r="A2" s="1" t="inlineStr">
        <is>
          <t>Informal Sector Hotspots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B3" s="3" t="inlineStr">
        <is>
          <t>One row per known informal e-waste recycling/collection hotspot in the state.</t>
        </is>
      </c>
    </row>
    <row r="5">
      <c r="B5" s="7" t="inlineStr">
        <is>
          <t>Hotspot / Informal Cluster Name</t>
        </is>
      </c>
      <c r="C5" s="7" t="inlineStr">
        <is>
          <t>District</t>
        </is>
      </c>
      <c r="D5" s="7" t="inlineStr">
        <is>
          <t>Status</t>
        </is>
      </c>
      <c r="E5" s="7" t="inlineStr">
        <is>
          <t>Estimated Informal Workers</t>
        </is>
      </c>
      <c r="F5" s="7" t="inlineStr">
        <is>
          <t>Workers Registered / Trained</t>
        </is>
      </c>
      <c r="G5" s="7" t="inlineStr">
        <is>
          <t>Formalization Action Taken</t>
        </is>
      </c>
      <c r="H5" s="7" t="inlineStr">
        <is>
          <t>Remarks</t>
        </is>
      </c>
    </row>
    <row r="6">
      <c r="B6" t="inlineStr">
        <is>
          <t>Informal Scrap Cluster - Site 1 (Mapusa market belt)</t>
        </is>
      </c>
      <c r="C6" t="inlineStr">
        <is>
          <t>North Goa</t>
        </is>
      </c>
      <c r="D6" t="inlineStr">
        <is>
          <t>Partially Formalized</t>
        </is>
      </c>
      <c r="E6" t="n">
        <v>25</v>
      </c>
      <c r="F6" t="n">
        <v>10</v>
      </c>
      <c r="G6" s="13" t="inlineStr">
        <is>
          <t>Awareness + registration drive by GSPCB/GEMS conducted</t>
        </is>
      </c>
      <c r="H6" s="13" t="inlineStr">
        <is>
          <t>Monitoring ongoing</t>
        </is>
      </c>
    </row>
    <row r="7">
      <c r="B7" s="8" t="inlineStr">
        <is>
          <t>Informal Scrap Cluster - Site 2 (Margao market belt)</t>
        </is>
      </c>
      <c r="C7" s="8" t="inlineStr">
        <is>
          <t>South Goa</t>
        </is>
      </c>
      <c r="D7" s="8" t="inlineStr">
        <is>
          <t>Partially Formalized</t>
        </is>
      </c>
      <c r="E7" s="8" t="n">
        <v>20</v>
      </c>
      <c r="F7" s="8" t="n">
        <v>8</v>
      </c>
      <c r="G7" s="14" t="inlineStr">
        <is>
          <t>Registered as informal collection point linked to V Recycling Industries LLP</t>
        </is>
      </c>
      <c r="H7" s="14" t="inlineStr">
        <is>
          <t>Remediation ongoing</t>
        </is>
      </c>
    </row>
    <row r="8">
      <c r="B8" t="inlineStr">
        <is>
          <t>Informal Scrap Cluster - Site 3 (Vasco industrial belt)</t>
        </is>
      </c>
      <c r="C8" t="inlineStr">
        <is>
          <t>South Goa</t>
        </is>
      </c>
      <c r="D8" t="inlineStr">
        <is>
          <t>Not Formalized</t>
        </is>
      </c>
      <c r="E8" t="n">
        <v>15</v>
      </c>
      <c r="F8" t="n">
        <v>2</v>
      </c>
      <c r="G8" s="13" t="inlineStr">
        <is>
          <t>Initial survey conducted</t>
        </is>
      </c>
      <c r="H8" s="13" t="inlineStr">
        <is>
          <t>Formalization action pending</t>
        </is>
      </c>
    </row>
    <row r="28">
      <c r="B28" s="12" t="inlineStr">
        <is>
          <t>Total Hotspots</t>
        </is>
      </c>
      <c r="C28">
        <f>COUNTA(B6:B26)</f>
        <v/>
      </c>
    </row>
    <row r="29">
      <c r="B29" s="12" t="inlineStr">
        <is>
          <t>Formalized/Remediated</t>
        </is>
      </c>
      <c r="C29">
        <f>COUNTIF(D6:D26,"Formalized")+COUNTIF(D6:D26,"Remediated")</f>
        <v/>
      </c>
    </row>
    <row r="30">
      <c r="B30" s="12" t="inlineStr">
        <is>
          <t>Estimated Workers (Total)</t>
        </is>
      </c>
      <c r="C30">
        <f>SUM(E6:E26)</f>
        <v/>
      </c>
    </row>
  </sheetData>
  <mergeCells count="2">
    <mergeCell ref="B3:H3"/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4" customWidth="1" min="5" max="5"/>
    <col width="22" customWidth="1" min="6" max="6"/>
    <col width="18" customWidth="1" min="7" max="7"/>
    <col width="16" customWidth="1" min="8" max="8"/>
    <col width="40" customWidth="1" min="9" max="9"/>
  </cols>
  <sheetData>
    <row r="2">
      <c r="A2" s="1" t="inlineStr">
        <is>
          <t>Env Health Monitoring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One row per environmental monitoring visit or health camp conducted at a hotspot.</t>
        </is>
      </c>
    </row>
    <row r="5">
      <c r="B5" s="7" t="inlineStr">
        <is>
          <t>Site / Hotspot Monitored</t>
        </is>
      </c>
      <c r="C5" s="7" t="inlineStr">
        <is>
          <t>District</t>
        </is>
      </c>
      <c r="D5" s="7" t="inlineStr">
        <is>
          <t>Monitoring Type</t>
        </is>
      </c>
      <c r="E5" s="7" t="inlineStr">
        <is>
          <t>Date</t>
        </is>
      </c>
      <c r="F5" s="7" t="inlineStr">
        <is>
          <t>Result</t>
        </is>
      </c>
      <c r="G5" s="7" t="inlineStr">
        <is>
          <t>Health Camp Conducted (Y/N)</t>
        </is>
      </c>
      <c r="H5" s="7" t="inlineStr">
        <is>
          <t>Beneficiaries Screened</t>
        </is>
      </c>
      <c r="I5" s="7" t="inlineStr">
        <is>
          <t>Remarks</t>
        </is>
      </c>
    </row>
    <row r="6">
      <c r="B6" t="inlineStr">
        <is>
          <t>Informal Scrap Cluster - Site 1 (Mapusa market belt)</t>
        </is>
      </c>
      <c r="C6" t="inlineStr">
        <is>
          <t>North Goa</t>
        </is>
      </c>
      <c r="D6" t="inlineStr">
        <is>
          <t>Soil</t>
        </is>
      </c>
      <c r="E6" t="inlineStr">
        <is>
          <t>10-05-2026</t>
        </is>
      </c>
      <c r="F6" t="inlineStr">
        <is>
          <t>Within Limit</t>
        </is>
      </c>
      <c r="G6" t="inlineStr">
        <is>
          <t>Yes</t>
        </is>
      </c>
      <c r="H6" t="n">
        <v>60</v>
      </c>
      <c r="I6" s="13" t="inlineStr">
        <is>
          <t>Routine monitoring, no major concern</t>
        </is>
      </c>
    </row>
    <row r="7">
      <c r="B7" s="8" t="inlineStr">
        <is>
          <t>Informal Scrap Cluster - Site 2 (Margao market belt)</t>
        </is>
      </c>
      <c r="C7" s="8" t="inlineStr">
        <is>
          <t>South Goa</t>
        </is>
      </c>
      <c r="D7" s="8" t="inlineStr">
        <is>
          <t>Soil + Water</t>
        </is>
      </c>
      <c r="E7" s="8" t="inlineStr">
        <is>
          <t>15-05-2026</t>
        </is>
      </c>
      <c r="F7" s="8" t="inlineStr">
        <is>
          <t>Exceeds Limit (Pb)</t>
        </is>
      </c>
      <c r="G7" s="8" t="inlineStr">
        <is>
          <t>Yes</t>
        </is>
      </c>
      <c r="H7" s="8" t="n">
        <v>50</v>
      </c>
      <c r="I7" s="14" t="inlineStr">
        <is>
          <t>Follow-up remediation plan submitted to GSPCB</t>
        </is>
      </c>
    </row>
    <row r="8">
      <c r="B8" t="inlineStr">
        <is>
          <t>Informal Scrap Cluster - Site 3 (Vasco industrial belt)</t>
        </is>
      </c>
      <c r="C8" t="inlineStr">
        <is>
          <t>South Goa</t>
        </is>
      </c>
      <c r="D8" t="inlineStr">
        <is>
          <t>Water</t>
        </is>
      </c>
      <c r="E8" t="inlineStr">
        <is>
          <t>20-05-2026</t>
        </is>
      </c>
      <c r="F8" t="inlineStr">
        <is>
          <t>Within Limit</t>
        </is>
      </c>
      <c r="G8" t="inlineStr">
        <is>
          <t>No</t>
        </is>
      </c>
      <c r="H8" t="n">
        <v>0</v>
      </c>
      <c r="I8" s="13" t="inlineStr">
        <is>
          <t>Health camp scheduled next quarter</t>
        </is>
      </c>
    </row>
    <row r="28">
      <c r="B28" s="12" t="inlineStr">
        <is>
          <t>Distinct Sites Monitored</t>
        </is>
      </c>
      <c r="C28">
        <f>SUMPRODUCT((B6:B26&lt;&gt;"")/COUNTIF(B6:B26,B6:B26&amp;""))</f>
        <v/>
      </c>
    </row>
    <row r="29">
      <c r="B29" s="12" t="inlineStr">
        <is>
          <t>Health Camps Conducted</t>
        </is>
      </c>
      <c r="C29">
        <f>COUNTIF(F6:F26,"Yes")</f>
        <v/>
      </c>
    </row>
    <row r="30">
      <c r="B30" s="12" t="inlineStr">
        <is>
          <t>Total Beneficiaries Screened</t>
        </is>
      </c>
      <c r="C30">
        <f>SUM(G6:G26)</f>
        <v/>
      </c>
    </row>
  </sheetData>
  <mergeCells count="2">
    <mergeCell ref="B3:I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6" customWidth="1" min="3" max="3"/>
    <col width="14" customWidth="1" min="4" max="4"/>
    <col width="30" customWidth="1" min="5" max="5"/>
    <col width="30" customWidth="1" min="6" max="6"/>
    <col width="18" customWidth="1" min="7" max="7"/>
  </cols>
  <sheetData>
    <row r="2">
      <c r="A2" s="1" t="inlineStr">
        <is>
          <t>Awareness Programs</t>
        </is>
      </c>
      <c r="B2" s="2" t="n"/>
      <c r="C2" s="2" t="n"/>
      <c r="D2" s="2" t="n"/>
      <c r="E2" s="2" t="n"/>
      <c r="F2" s="2" t="n"/>
      <c r="G2" s="2" t="n"/>
    </row>
    <row r="3">
      <c r="B3" s="3" t="inlineStr">
        <is>
          <t>One row per awareness campaign, take-back scheme promotion, or collection drive conducted.</t>
        </is>
      </c>
    </row>
    <row r="5">
      <c r="B5" s="7" t="inlineStr">
        <is>
          <t>Program Name</t>
        </is>
      </c>
      <c r="C5" s="7" t="inlineStr">
        <is>
          <t>District</t>
        </is>
      </c>
      <c r="D5" s="7" t="inlineStr">
        <is>
          <t>Date</t>
        </is>
      </c>
      <c r="E5" s="7" t="inlineStr">
        <is>
          <t>Type</t>
        </is>
      </c>
      <c r="F5" s="7" t="inlineStr">
        <is>
          <t>Target Audience</t>
        </is>
      </c>
      <c r="G5" s="7" t="inlineStr">
        <is>
          <t>Participants Reached</t>
        </is>
      </c>
    </row>
    <row r="6">
      <c r="B6" s="13" t="inlineStr">
        <is>
          <t>Statewide E-Waste Collection Drive (GSPCB-GWMC)</t>
        </is>
      </c>
      <c r="C6" s="13" t="inlineStr">
        <is>
          <t>Statewide (launched Panaji, North Goa)</t>
        </is>
      </c>
      <c r="D6" t="inlineStr">
        <is>
          <t>15-07-2025</t>
        </is>
      </c>
      <c r="E6" t="inlineStr">
        <is>
          <t>Household E-Waste Buyback / Collection Drive</t>
        </is>
      </c>
      <c r="F6" t="inlineStr">
        <is>
          <t>General public / households (statewide)</t>
        </is>
      </c>
      <c r="G6" t="n">
        <v>1800</v>
      </c>
    </row>
    <row r="7">
      <c r="B7" s="14" t="inlineStr">
        <is>
          <t>E-Waste Awareness Drive - Schools</t>
        </is>
      </c>
      <c r="C7" s="14" t="inlineStr">
        <is>
          <t>North Goa</t>
        </is>
      </c>
      <c r="D7" s="8" t="inlineStr">
        <is>
          <t>18-04-2026</t>
        </is>
      </c>
      <c r="E7" s="8" t="inlineStr">
        <is>
          <t>School Collection Drive</t>
        </is>
      </c>
      <c r="F7" s="8" t="inlineStr">
        <is>
          <t>Students, Grades 6-10</t>
        </is>
      </c>
      <c r="G7" s="8" t="n">
        <v>450</v>
      </c>
    </row>
    <row r="8">
      <c r="B8" s="13" t="inlineStr">
        <is>
          <t>Margao Municipal Council E-Waste Collection Drive</t>
        </is>
      </c>
      <c r="C8" s="13" t="inlineStr">
        <is>
          <t>South Goa</t>
        </is>
      </c>
      <c r="D8" t="inlineStr">
        <is>
          <t>22-04-2026</t>
        </is>
      </c>
      <c r="E8" t="inlineStr">
        <is>
          <t>RWA/Community Drive</t>
        </is>
      </c>
      <c r="F8" t="inlineStr">
        <is>
          <t>Residents' Welfare Associations</t>
        </is>
      </c>
      <c r="G8" t="n">
        <v>300</v>
      </c>
    </row>
    <row r="9">
      <c r="B9" s="14" t="inlineStr">
        <is>
          <t>Goa University Campus E-Waste Collection</t>
        </is>
      </c>
      <c r="C9" s="14" t="inlineStr">
        <is>
          <t>North Goa</t>
        </is>
      </c>
      <c r="D9" s="8" t="inlineStr">
        <is>
          <t>05-05-2026</t>
        </is>
      </c>
      <c r="E9" s="8" t="inlineStr">
        <is>
          <t>School Collection Drive</t>
        </is>
      </c>
      <c r="F9" s="8" t="inlineStr">
        <is>
          <t>College students</t>
        </is>
      </c>
      <c r="G9" s="8" t="n">
        <v>220</v>
      </c>
    </row>
    <row r="10">
      <c r="B10" s="13" t="inlineStr">
        <is>
          <t>Panaji Municipal Council E-Waste Awareness Session</t>
        </is>
      </c>
      <c r="C10" s="13" t="inlineStr">
        <is>
          <t>North Goa</t>
        </is>
      </c>
      <c r="D10" t="inlineStr">
        <is>
          <t>20-05-2026</t>
        </is>
      </c>
      <c r="E10" t="inlineStr">
        <is>
          <t>Public Awareness Campaign</t>
        </is>
      </c>
      <c r="F10" t="inlineStr">
        <is>
          <t>General public / households</t>
        </is>
      </c>
      <c r="G10" t="n">
        <v>500</v>
      </c>
    </row>
    <row r="28">
      <c r="B28" s="12" t="inlineStr">
        <is>
          <t>Total Programs Conducted</t>
        </is>
      </c>
      <c r="C28">
        <f>COUNTA(B6:B26)</f>
        <v/>
      </c>
    </row>
    <row r="29">
      <c r="B29" s="12" t="inlineStr">
        <is>
          <t>Collection Drives (School+RWA)</t>
        </is>
      </c>
      <c r="C29">
        <f>COUNTIF(D6:D26,"School Collection Drive")+COUNTIF(D6:D26,"RWA/Community Drive")</f>
        <v/>
      </c>
    </row>
    <row r="30">
      <c r="B30" s="12" t="inlineStr">
        <is>
          <t>Total Participants Reached</t>
        </is>
      </c>
      <c r="C30">
        <f>SUM(F6:F26)</f>
        <v/>
      </c>
    </row>
  </sheetData>
  <mergeCells count="2">
    <mergeCell ref="B3:G3"/>
    <mergeCell ref="A2: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d5b6b3d-3d39-4526-b8e4-79d21e1438f0" xsi:nil="true"/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17A8D7C6-192A-4C1E-9B86-C2422A572A06}"/>
</file>

<file path=customXml/itemProps2.xml><?xml version="1.0" encoding="utf-8"?>
<ds:datastoreItem xmlns:ds="http://schemas.openxmlformats.org/officeDocument/2006/customXml" ds:itemID="{D586D114-6C53-4498-9650-7D094A36251A}"/>
</file>

<file path=customXml/itemProps3.xml><?xml version="1.0" encoding="utf-8"?>
<ds:datastoreItem xmlns:ds="http://schemas.openxmlformats.org/officeDocument/2006/customXml" ds:itemID="{78DB9634-501B-41E4-B6F9-550A2CD96C0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2026-07-26T13:58:43Z</dcterms:created>
  <dcterms:modified xsi:type="dcterms:W3CDTF">2026-07-26T13:58:43Z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